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ork" sheetId="1" state="visible" r:id="rId3"/>
    <sheet name="Projec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<sst xmlns="http://schemas.openxmlformats.org/spreadsheetml/2006/main" count="62" uniqueCount="48">
  <si>
    <t xml:space="preserve">Issue Key</t>
  </si>
  <si>
    <t xml:space="preserve">Summary</t>
  </si>
  <si>
    <t xml:space="preserve">Type</t>
  </si>
  <si>
    <t xml:space="preserve">Status</t>
  </si>
  <si>
    <t xml:space="preserve">Assignee</t>
  </si>
  <si>
    <t xml:space="preserve">Size</t>
  </si>
  <si>
    <t xml:space="preserve">% 11-28</t>
  </si>
  <si>
    <t xml:space="preserve">EV 11-28</t>
  </si>
  <si>
    <t xml:space="preserve">% 11-21</t>
  </si>
  <si>
    <t xml:space="preserve">EV 11-21</t>
  </si>
  <si>
    <t xml:space="preserve">% 11-14</t>
  </si>
  <si>
    <t xml:space="preserve">EV 11-14</t>
  </si>
  <si>
    <t xml:space="preserve">% 11-07</t>
  </si>
  <si>
    <t xml:space="preserve">EV 11-07</t>
  </si>
  <si>
    <t xml:space="preserve">% 10-31</t>
  </si>
  <si>
    <t xml:space="preserve">EV 10-31</t>
  </si>
  <si>
    <t xml:space="preserve">TICKET-1234</t>
  </si>
  <si>
    <t xml:space="preserve">Work stuff</t>
  </si>
  <si>
    <t xml:space="preserve">Task</t>
  </si>
  <si>
    <t xml:space="preserve">To Do</t>
  </si>
  <si>
    <t xml:space="preserve">Bob</t>
  </si>
  <si>
    <t xml:space="preserve">TICKET-1235</t>
  </si>
  <si>
    <t xml:space="preserve">More work stuff</t>
  </si>
  <si>
    <t xml:space="preserve">Bug</t>
  </si>
  <si>
    <t xml:space="preserve">TICKET-1236</t>
  </si>
  <si>
    <t xml:space="preserve">Big work stuff</t>
  </si>
  <si>
    <t xml:space="preserve">TICKET-1237</t>
  </si>
  <si>
    <t xml:space="preserve">Tall work stuff</t>
  </si>
  <si>
    <t xml:space="preserve">TICKET-1238</t>
  </si>
  <si>
    <t xml:space="preserve">Short work stuff</t>
  </si>
  <si>
    <t xml:space="preserve">TICKET-1239</t>
  </si>
  <si>
    <t xml:space="preserve">A big block of work stuff</t>
  </si>
  <si>
    <t xml:space="preserve">Date</t>
  </si>
  <si>
    <t xml:space="preserve">Completed</t>
  </si>
  <si>
    <t xml:space="preserve">Remaining</t>
  </si>
  <si>
    <t xml:space="preserve">Velocity</t>
  </si>
  <si>
    <t xml:space="preserve">Avg (12w)</t>
  </si>
  <si>
    <t xml:space="preserve">StdDev (12w)</t>
  </si>
  <si>
    <t xml:space="preserve">Fast (p68)</t>
  </si>
  <si>
    <t xml:space="preserve">Mean</t>
  </si>
  <si>
    <t xml:space="preserve">Slow (p68)</t>
  </si>
  <si>
    <t xml:space="preserve">V. Fast (p68)</t>
  </si>
  <si>
    <t xml:space="preserve">V. Slow (p68)</t>
  </si>
  <si>
    <t xml:space="preserve">2025-10-31</t>
  </si>
  <si>
    <t xml:space="preserve">2025-11-07</t>
  </si>
  <si>
    <t xml:space="preserve">2025-11-14</t>
  </si>
  <si>
    <t xml:space="preserve">2025-11-21</t>
  </si>
  <si>
    <t xml:space="preserve">2025-11-28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</si>
</sst>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"/>
    <numFmt numFmtId="167" formatCode="yyyy\-mm\-dd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000FF"/>
      <name val="Cambria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2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G7" activeCellId="0" sqref="G7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0" width="18.13"/>
    <col collapsed="false" customWidth="true" hidden="false" outlineLevel="0" max="2" min="2" style="0" width="32.48"/>
    <col collapsed="false" customWidth="true" hidden="false" outlineLevel="0" max="3" min="3" style="0" width="16.67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</row>
    <row r="2" customFormat="false" ht="13.8" hidden="false" customHeight="false" outlineLevel="0" collapsed="false">
      <c r="A2" s="1" t="s">
        <v>16</v>
      </c>
      <c r="B2" s="0" t="s">
        <v>17</v>
      </c>
      <c r="C2" s="0" t="s">
        <v>18</v>
      </c>
      <c r="D2" s="0" t="s">
        <v>19</v>
      </c>
      <c r="E2" s="0" t="s">
        <v>20</v>
      </c>
      <c r="F2" s="0" t="n">
        <v>1</v>
      </c>
      <c r="G2" s="2" t="n">
        <v>1</v>
      </c>
      <c r="H2" s="3" t="n">
        <f aca="false">IF(G2=0, "", G2 * HLOOKUP("Size", 1:2, 2, 0))</f>
        <v>1</v>
      </c>
      <c r="I2" s="2" t="n">
        <v>0.8</v>
      </c>
      <c r="J2" s="3" t="n">
        <f aca="false">IF(I2=0, "", I2 * HLOOKUP("Size", 1:2, 2, 0))</f>
        <v>0.8</v>
      </c>
      <c r="K2" s="2" t="n">
        <v>0.4</v>
      </c>
      <c r="L2" s="3" t="n">
        <f aca="false">IF(K2=0, "", K2 * HLOOKUP("Size", 1:2, 2, 0))</f>
        <v>0.4</v>
      </c>
      <c r="M2" s="2" t="n">
        <v>0.2</v>
      </c>
      <c r="N2" s="3" t="n">
        <f aca="false">IF(M2=0, "", M2 * HLOOKUP("Size", 1:2, 2, 0))</f>
        <v>0.2</v>
      </c>
      <c r="O2" s="2" t="n">
        <v>0.1</v>
      </c>
      <c r="P2" s="3" t="n">
        <f aca="false">IF(O2=0, "", O2 * HLOOKUP("Size", 1:2, 2, 0))</f>
        <v>0.1</v>
      </c>
    </row>
    <row r="3" customFormat="false" ht="13.8" hidden="false" customHeight="false" outlineLevel="0" collapsed="false">
      <c r="A3" s="1" t="s">
        <v>21</v>
      </c>
      <c r="B3" s="0" t="s">
        <v>22</v>
      </c>
      <c r="C3" s="0" t="s">
        <v>23</v>
      </c>
      <c r="D3" s="0" t="s">
        <v>19</v>
      </c>
      <c r="E3" s="0" t="s">
        <v>20</v>
      </c>
      <c r="F3" s="0" t="n">
        <v>2</v>
      </c>
      <c r="G3" s="2" t="n">
        <v>1</v>
      </c>
      <c r="H3" s="3" t="n">
        <f aca="false">IF(G3=0, "", G3 * HLOOKUP("Size", 1:3, 3, 0))</f>
        <v>2</v>
      </c>
      <c r="I3" s="2" t="n">
        <v>1</v>
      </c>
      <c r="J3" s="3" t="n">
        <f aca="false">IF(I3=0, "", I3 * HLOOKUP("Size", 1:3, 3, 0))</f>
        <v>2</v>
      </c>
      <c r="K3" s="2" t="n">
        <v>1</v>
      </c>
      <c r="L3" s="3" t="n">
        <f aca="false">IF(K3=0, "", K3 * HLOOKUP("Size", 1:3, 3, 0))</f>
        <v>2</v>
      </c>
      <c r="M3" s="2" t="n">
        <v>0.5</v>
      </c>
      <c r="N3" s="3" t="n">
        <f aca="false">IF(M3=0, "", M3 * HLOOKUP("Size", 1:3, 3, 0))</f>
        <v>1</v>
      </c>
      <c r="O3" s="2"/>
      <c r="P3" s="3" t="str">
        <f aca="false">IF(O3=0, "", O3 * HLOOKUP("Size", 1:3, 3, 0))</f>
        <v/>
      </c>
    </row>
    <row r="4" customFormat="false" ht="13.8" hidden="false" customHeight="false" outlineLevel="0" collapsed="false">
      <c r="A4" s="1" t="s">
        <v>24</v>
      </c>
      <c r="B4" s="0" t="s">
        <v>25</v>
      </c>
      <c r="C4" s="0" t="s">
        <v>23</v>
      </c>
      <c r="D4" s="0" t="s">
        <v>19</v>
      </c>
      <c r="E4" s="0" t="s">
        <v>20</v>
      </c>
      <c r="F4" s="0" t="n">
        <v>3</v>
      </c>
      <c r="G4" s="2" t="n">
        <v>0.3</v>
      </c>
      <c r="H4" s="3" t="n">
        <f aca="false">IF(G4=0, "", G4 * HLOOKUP("Size", 1:4, 4, 0))</f>
        <v>0.9</v>
      </c>
      <c r="I4" s="2" t="n">
        <v>0.2</v>
      </c>
      <c r="J4" s="3" t="n">
        <f aca="false">IF(I4=0, "", I4 * HLOOKUP("Size", 1:4, 4, 0))</f>
        <v>0.6</v>
      </c>
      <c r="K4" s="2" t="n">
        <v>0.1</v>
      </c>
      <c r="L4" s="3" t="n">
        <f aca="false">IF(K4=0, "", K4 * HLOOKUP("Size", 1:4, 4, 0))</f>
        <v>0.3</v>
      </c>
      <c r="M4" s="2"/>
      <c r="N4" s="3" t="str">
        <f aca="false">IF(M4=0, "", M4 * HLOOKUP("Size", 1:4, 4, 0))</f>
        <v/>
      </c>
      <c r="O4" s="2"/>
      <c r="P4" s="3" t="str">
        <f aca="false">IF(O4=0, "", O4 * HLOOKUP("Size", 1:4, 4, 0))</f>
        <v/>
      </c>
    </row>
    <row r="5" customFormat="false" ht="13.8" hidden="false" customHeight="false" outlineLevel="0" collapsed="false">
      <c r="A5" s="1" t="s">
        <v>26</v>
      </c>
      <c r="B5" s="0" t="s">
        <v>27</v>
      </c>
      <c r="C5" s="0" t="s">
        <v>23</v>
      </c>
      <c r="D5" s="0" t="s">
        <v>19</v>
      </c>
      <c r="E5" s="0" t="s">
        <v>20</v>
      </c>
      <c r="F5" s="0" t="n">
        <v>5</v>
      </c>
      <c r="G5" s="2" t="n">
        <v>1</v>
      </c>
      <c r="H5" s="3" t="n">
        <f aca="false">IF(G5=0, "", G5 * HLOOKUP("Size", 1:5, 5, 0))</f>
        <v>5</v>
      </c>
      <c r="I5" s="2" t="n">
        <v>1</v>
      </c>
      <c r="J5" s="3" t="n">
        <f aca="false">IF(I5=0, "", I5 * HLOOKUP("Size", 1:5, 5, 0))</f>
        <v>5</v>
      </c>
      <c r="K5" s="2"/>
      <c r="L5" s="3" t="str">
        <f aca="false">IF(K5=0, "", K5 * HLOOKUP("Size", 1:5, 5, 0))</f>
        <v/>
      </c>
      <c r="M5" s="2"/>
      <c r="N5" s="3" t="str">
        <f aca="false">IF(M5=0, "", M5 * HLOOKUP("Size", 1:5, 5, 0))</f>
        <v/>
      </c>
      <c r="O5" s="2"/>
      <c r="P5" s="3" t="str">
        <f aca="false">IF(O5=0, "", O5 * HLOOKUP("Size", 1:5, 5, 0))</f>
        <v/>
      </c>
    </row>
    <row r="6" customFormat="false" ht="13.8" hidden="false" customHeight="false" outlineLevel="0" collapsed="false">
      <c r="A6" s="1" t="s">
        <v>28</v>
      </c>
      <c r="B6" s="0" t="s">
        <v>29</v>
      </c>
      <c r="C6" s="0" t="s">
        <v>23</v>
      </c>
      <c r="D6" s="0" t="s">
        <v>19</v>
      </c>
      <c r="E6" s="0" t="s">
        <v>20</v>
      </c>
      <c r="F6" s="0" t="n">
        <v>8</v>
      </c>
      <c r="G6" s="2" t="n">
        <v>0.3</v>
      </c>
      <c r="H6" s="3" t="n">
        <f aca="false">IF(G6=0, "", G6 * HLOOKUP("Size", 1:6, 6, 0))</f>
        <v>2.4</v>
      </c>
      <c r="I6" s="2"/>
      <c r="J6" s="3" t="str">
        <f aca="false">IF(I6=0, "", I6 * HLOOKUP("Size", 1:6, 6, 0))</f>
        <v/>
      </c>
      <c r="K6" s="2"/>
      <c r="L6" s="3" t="str">
        <f aca="false">IF(K6=0, "", K6 * HLOOKUP("Size", 1:6, 6, 0))</f>
        <v/>
      </c>
      <c r="M6" s="2"/>
      <c r="N6" s="3" t="str">
        <f aca="false">IF(M6=0, "", M6 * HLOOKUP("Size", 1:6, 6, 0))</f>
        <v/>
      </c>
      <c r="O6" s="2"/>
      <c r="P6" s="3" t="str">
        <f aca="false">IF(O6=0, "", O6 * HLOOKUP("Size", 1:6, 6, 0))</f>
        <v/>
      </c>
    </row>
    <row r="7" customFormat="false" ht="13.8" hidden="false" customHeight="false" outlineLevel="0" collapsed="false">
      <c r="A7" s="1" t="s">
        <v>30</v>
      </c>
      <c r="B7" s="0" t="s">
        <v>31</v>
      </c>
      <c r="C7" s="0" t="s">
        <v>23</v>
      </c>
      <c r="D7" s="0" t="s">
        <v>19</v>
      </c>
      <c r="E7" s="0" t="s">
        <v>20</v>
      </c>
      <c r="F7" s="0" t="n">
        <v>13</v>
      </c>
      <c r="G7" s="2"/>
      <c r="H7" s="3" t="str">
        <f aca="false">IF(G7=0, "", G7 * HLOOKUP("Size", 1:7, 7, 0))</f>
        <v/>
      </c>
      <c r="I7" s="2"/>
      <c r="J7" s="3" t="str">
        <f aca="false">IF(I7=0, "", I7 * HLOOKUP("Size", 1:7, 7, 0))</f>
        <v/>
      </c>
      <c r="K7" s="2"/>
      <c r="L7" s="3" t="str">
        <f aca="false">IF(K7=0, "", K7 * HLOOKUP("Size", 1:7, 7, 0))</f>
        <v/>
      </c>
      <c r="M7" s="2"/>
      <c r="N7" s="3" t="str">
        <f aca="false">IF(M7=0, "", M7 * HLOOKUP("Size", 1:7, 7, 0))</f>
        <v/>
      </c>
      <c r="O7" s="2"/>
      <c r="P7" s="3" t="str">
        <f aca="false">IF(O7=0, "", O7 * HLOOKUP("Size", 1:7, 7, 0))</f>
        <v/>
      </c>
    </row>
    <row r="8" customFormat="false" ht="13.8" hidden="false" customHeight="false" outlineLevel="0" collapsed="false">
      <c r="A8" s="1"/>
      <c r="G8" s="2"/>
      <c r="H8" s="3"/>
      <c r="I8" s="2"/>
      <c r="J8" s="3"/>
      <c r="K8" s="2"/>
      <c r="L8" s="3"/>
      <c r="M8" s="2"/>
      <c r="N8" s="3"/>
      <c r="O8" s="2"/>
      <c r="P8" s="3"/>
    </row>
    <row r="9" customFormat="false" ht="13.8" hidden="false" customHeight="false" outlineLevel="0" collapsed="false">
      <c r="A9" s="1"/>
      <c r="G9" s="2"/>
      <c r="H9" s="3"/>
      <c r="I9" s="2"/>
      <c r="J9" s="3"/>
      <c r="K9" s="2"/>
      <c r="L9" s="3"/>
      <c r="M9" s="2"/>
      <c r="N9" s="3"/>
      <c r="O9" s="2"/>
      <c r="P9" s="3"/>
    </row>
    <row r="10" customFormat="false" ht="13.8" hidden="false" customHeight="false" outlineLevel="0" collapsed="false">
      <c r="A10" s="1"/>
      <c r="G10" s="2"/>
      <c r="H10" s="3"/>
      <c r="I10" s="2"/>
      <c r="J10" s="3"/>
      <c r="K10" s="2"/>
      <c r="L10" s="3"/>
      <c r="M10" s="2"/>
      <c r="N10" s="3"/>
      <c r="O10" s="2"/>
      <c r="P10" s="3"/>
    </row>
    <row r="11" customFormat="false" ht="13.8" hidden="false" customHeight="false" outlineLevel="0" collapsed="false">
      <c r="A11" s="1"/>
      <c r="G11" s="2"/>
      <c r="H11" s="3"/>
      <c r="I11" s="2"/>
      <c r="J11" s="3"/>
      <c r="K11" s="2"/>
      <c r="L11" s="3"/>
      <c r="M11" s="2"/>
      <c r="N11" s="3"/>
      <c r="O11" s="2"/>
      <c r="P11" s="3"/>
    </row>
    <row r="12" customFormat="false" ht="13.8" hidden="false" customHeight="false" outlineLevel="0" collapsed="false">
      <c r="A12" s="1"/>
      <c r="G12" s="2"/>
      <c r="H12" s="3"/>
      <c r="I12" s="2"/>
      <c r="J12" s="3"/>
      <c r="K12" s="2"/>
      <c r="L12" s="3"/>
      <c r="M12" s="2"/>
      <c r="N12" s="3"/>
      <c r="O12" s="2"/>
      <c r="P12" s="3"/>
    </row>
    <row r="13" customFormat="false" ht="13.8" hidden="false" customHeight="false" outlineLevel="0" collapsed="false">
      <c r="A13" s="1"/>
      <c r="G13" s="2"/>
      <c r="H13" s="3"/>
      <c r="I13" s="2"/>
      <c r="J13" s="3"/>
      <c r="K13" s="2"/>
      <c r="L13" s="3"/>
      <c r="M13" s="2"/>
      <c r="N13" s="3"/>
      <c r="O13" s="2"/>
      <c r="P13" s="3"/>
    </row>
    <row r="14" customFormat="false" ht="13.8" hidden="false" customHeight="false" outlineLevel="0" collapsed="false">
      <c r="A14" s="1"/>
      <c r="G14" s="2"/>
      <c r="H14" s="3"/>
      <c r="I14" s="2"/>
      <c r="J14" s="3"/>
      <c r="K14" s="2"/>
      <c r="L14" s="3"/>
      <c r="M14" s="2"/>
      <c r="N14" s="3"/>
      <c r="O14" s="2"/>
      <c r="P14" s="3"/>
    </row>
    <row r="15" customFormat="false" ht="13.8" hidden="false" customHeight="false" outlineLevel="0" collapsed="false">
      <c r="A15" s="1"/>
      <c r="G15" s="2"/>
      <c r="H15" s="3"/>
      <c r="I15" s="2"/>
      <c r="J15" s="3"/>
      <c r="K15" s="2"/>
      <c r="L15" s="3"/>
      <c r="M15" s="2"/>
      <c r="N15" s="3"/>
      <c r="O15" s="2"/>
      <c r="P15" s="3"/>
    </row>
    <row r="16" customFormat="false" ht="13.8" hidden="false" customHeight="false" outlineLevel="0" collapsed="false">
      <c r="A16" s="1"/>
      <c r="G16" s="2"/>
      <c r="H16" s="3"/>
      <c r="I16" s="2"/>
      <c r="J16" s="3"/>
      <c r="K16" s="2"/>
      <c r="L16" s="3"/>
      <c r="M16" s="2"/>
      <c r="N16" s="3"/>
      <c r="O16" s="2"/>
      <c r="P16" s="3"/>
    </row>
    <row r="17" customFormat="false" ht="13.8" hidden="false" customHeight="false" outlineLevel="0" collapsed="false">
      <c r="A17" s="1"/>
      <c r="G17" s="2"/>
      <c r="H17" s="3"/>
      <c r="I17" s="2"/>
      <c r="J17" s="3"/>
      <c r="K17" s="2"/>
      <c r="L17" s="3"/>
      <c r="M17" s="2"/>
      <c r="N17" s="3"/>
      <c r="O17" s="2"/>
      <c r="P17" s="3"/>
    </row>
    <row r="18" customFormat="false" ht="13.8" hidden="false" customHeight="false" outlineLevel="0" collapsed="false">
      <c r="A18" s="1"/>
      <c r="G18" s="2"/>
      <c r="H18" s="3"/>
      <c r="I18" s="2"/>
      <c r="J18" s="3"/>
      <c r="K18" s="2"/>
      <c r="L18" s="3"/>
      <c r="M18" s="2"/>
      <c r="N18" s="3"/>
      <c r="O18" s="2"/>
      <c r="P18" s="3"/>
    </row>
    <row r="19" customFormat="false" ht="13.8" hidden="false" customHeight="false" outlineLevel="0" collapsed="false">
      <c r="A19" s="1"/>
      <c r="G19" s="2"/>
      <c r="H19" s="3"/>
      <c r="I19" s="2"/>
      <c r="J19" s="3"/>
      <c r="K19" s="2"/>
      <c r="L19" s="3"/>
      <c r="M19" s="2"/>
      <c r="N19" s="3"/>
      <c r="O19" s="2"/>
      <c r="P19" s="3"/>
    </row>
    <row r="20" customFormat="false" ht="13.8" hidden="false" customHeight="false" outlineLevel="0" collapsed="false">
      <c r="A20" s="1"/>
      <c r="G20" s="2"/>
      <c r="H20" s="3"/>
      <c r="I20" s="2"/>
      <c r="J20" s="3"/>
      <c r="K20" s="2"/>
      <c r="L20" s="3"/>
      <c r="M20" s="2"/>
      <c r="N20" s="3"/>
      <c r="O20" s="2"/>
      <c r="P20" s="3"/>
    </row>
    <row r="21" customFormat="false" ht="13.8" hidden="false" customHeight="false" outlineLevel="0" collapsed="false">
      <c r="A21" s="1"/>
      <c r="G21" s="2"/>
      <c r="H21" s="3"/>
      <c r="I21" s="2"/>
      <c r="J21" s="3"/>
      <c r="K21" s="2"/>
      <c r="L21" s="3"/>
      <c r="M21" s="2"/>
      <c r="N21" s="3"/>
      <c r="O21" s="2"/>
      <c r="P21" s="3"/>
    </row>
    <row r="22" customFormat="false" ht="13.8" hidden="false" customHeight="false" outlineLevel="0" collapsed="false">
      <c r="A22" s="1"/>
      <c r="G22" s="2"/>
      <c r="H22" s="3"/>
      <c r="I22" s="2"/>
      <c r="J22" s="3"/>
      <c r="K22" s="2"/>
      <c r="L22" s="3"/>
      <c r="M22" s="2"/>
      <c r="N22" s="3"/>
      <c r="O22" s="2"/>
      <c r="P22" s="3"/>
    </row>
    <row r="23" customFormat="false" ht="13.8" hidden="false" customHeight="false" outlineLevel="0" collapsed="false">
      <c r="A23" s="1"/>
      <c r="G23" s="2"/>
      <c r="H23" s="3"/>
      <c r="I23" s="2"/>
      <c r="J23" s="3"/>
      <c r="K23" s="2"/>
      <c r="L23" s="3"/>
      <c r="M23" s="2"/>
      <c r="N23" s="3"/>
      <c r="O23" s="2"/>
      <c r="P23" s="3"/>
    </row>
    <row r="24" customFormat="false" ht="13.8" hidden="false" customHeight="false" outlineLevel="0" collapsed="false">
      <c r="A24" s="1"/>
      <c r="G24" s="2"/>
      <c r="H24" s="3"/>
      <c r="I24" s="2"/>
      <c r="J24" s="3"/>
      <c r="K24" s="2"/>
      <c r="L24" s="3"/>
      <c r="M24" s="2"/>
      <c r="N24" s="3"/>
      <c r="O24" s="2"/>
      <c r="P24" s="3"/>
    </row>
    <row r="25" customFormat="false" ht="13.8" hidden="false" customHeight="false" outlineLevel="0" collapsed="false">
      <c r="A25" s="1"/>
      <c r="G25" s="2"/>
      <c r="H25" s="3"/>
      <c r="I25" s="2"/>
      <c r="J25" s="3"/>
      <c r="K25" s="2"/>
      <c r="L25" s="3"/>
      <c r="M25" s="2"/>
      <c r="N25" s="3"/>
      <c r="O25" s="2"/>
      <c r="P25" s="3"/>
    </row>
    <row r="26" customFormat="false" ht="13.8" hidden="false" customHeight="false" outlineLevel="0" collapsed="false">
      <c r="A26" s="1"/>
      <c r="G26" s="2"/>
      <c r="H26" s="3"/>
      <c r="I26" s="2"/>
      <c r="J26" s="3"/>
      <c r="K26" s="2"/>
      <c r="L26" s="3"/>
      <c r="M26" s="2"/>
      <c r="N26" s="3"/>
      <c r="O26" s="2"/>
      <c r="P26" s="3"/>
    </row>
    <row r="27" customFormat="false" ht="13.8" hidden="false" customHeight="false" outlineLevel="0" collapsed="false">
      <c r="A27" s="1"/>
      <c r="G27" s="2"/>
      <c r="H27" s="3"/>
      <c r="I27" s="2"/>
      <c r="J27" s="3"/>
      <c r="K27" s="2"/>
      <c r="L27" s="3"/>
      <c r="M27" s="2"/>
      <c r="N27" s="3"/>
      <c r="O27" s="2"/>
      <c r="P27" s="3"/>
    </row>
    <row r="28" customFormat="false" ht="13.8" hidden="false" customHeight="false" outlineLevel="0" collapsed="false">
      <c r="A28" s="1"/>
      <c r="G28" s="2"/>
      <c r="H28" s="3"/>
      <c r="I28" s="2"/>
      <c r="J28" s="3"/>
      <c r="K28" s="2"/>
      <c r="L28" s="3"/>
      <c r="M28" s="2"/>
      <c r="N28" s="3"/>
      <c r="O28" s="2"/>
      <c r="P28" s="3"/>
    </row>
    <row r="29" customFormat="false" ht="13.8" hidden="false" customHeight="false" outlineLevel="0" collapsed="false">
      <c r="A29" s="1"/>
      <c r="G29" s="2"/>
      <c r="H29" s="3"/>
      <c r="I29" s="2"/>
      <c r="J29" s="3"/>
      <c r="K29" s="2"/>
      <c r="L29" s="3"/>
      <c r="M29" s="2"/>
      <c r="N29" s="3"/>
      <c r="O29" s="2"/>
      <c r="P29" s="3"/>
    </row>
    <row r="30" customFormat="false" ht="13.8" hidden="false" customHeight="false" outlineLevel="0" collapsed="false">
      <c r="A30" s="1"/>
      <c r="G30" s="2"/>
      <c r="H30" s="3"/>
      <c r="I30" s="2"/>
      <c r="J30" s="3"/>
      <c r="K30" s="2"/>
      <c r="L30" s="3"/>
      <c r="M30" s="2"/>
      <c r="N30" s="3"/>
      <c r="O30" s="2"/>
      <c r="P30" s="3"/>
    </row>
    <row r="31" customFormat="false" ht="13.8" hidden="false" customHeight="false" outlineLevel="0" collapsed="false">
      <c r="A31" s="1"/>
      <c r="G31" s="2"/>
      <c r="H31" s="3"/>
      <c r="I31" s="2"/>
      <c r="J31" s="3"/>
      <c r="K31" s="2"/>
      <c r="L31" s="3"/>
      <c r="M31" s="2"/>
      <c r="N31" s="3"/>
      <c r="O31" s="2"/>
      <c r="P31" s="3"/>
    </row>
    <row r="32" customFormat="false" ht="13.8" hidden="false" customHeight="false" outlineLevel="0" collapsed="false">
      <c r="A32" s="1"/>
      <c r="G32" s="2"/>
      <c r="H32" s="3"/>
      <c r="I32" s="2"/>
      <c r="J32" s="3"/>
      <c r="K32" s="2"/>
      <c r="L32" s="3"/>
      <c r="M32" s="2"/>
      <c r="N32" s="3"/>
      <c r="O32" s="2"/>
      <c r="P32" s="3"/>
    </row>
    <row r="33" customFormat="false" ht="13.8" hidden="false" customHeight="false" outlineLevel="0" collapsed="false">
      <c r="A33" s="1"/>
      <c r="G33" s="2"/>
      <c r="H33" s="3"/>
      <c r="I33" s="2"/>
      <c r="J33" s="3"/>
      <c r="K33" s="2"/>
      <c r="L33" s="3"/>
      <c r="M33" s="2"/>
      <c r="N33" s="3"/>
      <c r="O33" s="2"/>
      <c r="P33" s="3"/>
    </row>
    <row r="34" customFormat="false" ht="13.8" hidden="false" customHeight="false" outlineLevel="0" collapsed="false">
      <c r="A34" s="1"/>
      <c r="G34" s="2"/>
      <c r="H34" s="3"/>
      <c r="I34" s="2"/>
      <c r="J34" s="3"/>
      <c r="K34" s="2"/>
      <c r="L34" s="3"/>
      <c r="M34" s="2"/>
      <c r="N34" s="3"/>
      <c r="O34" s="2"/>
      <c r="P34" s="3"/>
    </row>
    <row r="35" customFormat="false" ht="13.8" hidden="false" customHeight="false" outlineLevel="0" collapsed="false">
      <c r="A35" s="1"/>
      <c r="G35" s="2"/>
      <c r="H35" s="3"/>
      <c r="I35" s="2"/>
      <c r="J35" s="3"/>
      <c r="K35" s="2"/>
      <c r="L35" s="3"/>
      <c r="M35" s="2"/>
      <c r="N35" s="3"/>
      <c r="O35" s="2"/>
      <c r="P35" s="3"/>
    </row>
    <row r="36" customFormat="false" ht="13.8" hidden="false" customHeight="false" outlineLevel="0" collapsed="false">
      <c r="A36" s="1"/>
      <c r="G36" s="2"/>
      <c r="H36" s="3"/>
      <c r="I36" s="2"/>
      <c r="J36" s="3"/>
      <c r="K36" s="2"/>
      <c r="L36" s="3"/>
      <c r="M36" s="2"/>
      <c r="N36" s="3"/>
      <c r="O36" s="2"/>
      <c r="P36" s="3"/>
    </row>
    <row r="37" customFormat="false" ht="13.8" hidden="false" customHeight="false" outlineLevel="0" collapsed="false">
      <c r="A37" s="1"/>
      <c r="G37" s="2"/>
      <c r="H37" s="3"/>
      <c r="I37" s="2"/>
      <c r="J37" s="3"/>
      <c r="K37" s="2"/>
      <c r="L37" s="3"/>
      <c r="M37" s="2"/>
      <c r="N37" s="3"/>
      <c r="O37" s="2"/>
      <c r="P37" s="3"/>
    </row>
    <row r="38" customFormat="false" ht="13.8" hidden="false" customHeight="false" outlineLevel="0" collapsed="false">
      <c r="A38" s="1"/>
      <c r="G38" s="2"/>
      <c r="H38" s="3"/>
      <c r="I38" s="2"/>
      <c r="J38" s="3"/>
      <c r="K38" s="2"/>
      <c r="L38" s="3"/>
      <c r="M38" s="2"/>
      <c r="N38" s="3"/>
      <c r="O38" s="2"/>
      <c r="P38" s="3"/>
    </row>
    <row r="39" customFormat="false" ht="13.8" hidden="false" customHeight="false" outlineLevel="0" collapsed="false">
      <c r="A39" s="1"/>
      <c r="G39" s="2"/>
      <c r="H39" s="3"/>
      <c r="I39" s="2"/>
      <c r="J39" s="3"/>
      <c r="K39" s="2"/>
      <c r="L39" s="3"/>
      <c r="M39" s="2"/>
      <c r="N39" s="3"/>
      <c r="O39" s="2"/>
      <c r="P39" s="3"/>
    </row>
    <row r="40" customFormat="false" ht="13.8" hidden="false" customHeight="false" outlineLevel="0" collapsed="false">
      <c r="A40" s="1"/>
      <c r="G40" s="2"/>
      <c r="H40" s="3"/>
      <c r="I40" s="2"/>
      <c r="J40" s="3"/>
      <c r="K40" s="2"/>
      <c r="L40" s="3"/>
      <c r="M40" s="2"/>
      <c r="N40" s="3"/>
      <c r="O40" s="2"/>
      <c r="P40" s="3"/>
    </row>
    <row r="41" customFormat="false" ht="13.8" hidden="false" customHeight="false" outlineLevel="0" collapsed="false">
      <c r="A41" s="1"/>
      <c r="G41" s="2"/>
      <c r="H41" s="3"/>
      <c r="I41" s="2"/>
      <c r="J41" s="3"/>
      <c r="K41" s="2"/>
      <c r="L41" s="3"/>
      <c r="M41" s="2"/>
      <c r="N41" s="3"/>
      <c r="O41" s="2"/>
      <c r="P41" s="3"/>
    </row>
    <row r="42" customFormat="false" ht="13.8" hidden="false" customHeight="false" outlineLevel="0" collapsed="false">
      <c r="A42" s="1"/>
      <c r="G42" s="2"/>
      <c r="H42" s="3"/>
      <c r="I42" s="2"/>
      <c r="J42" s="3"/>
      <c r="K42" s="2"/>
      <c r="L42" s="3"/>
      <c r="M42" s="2"/>
      <c r="N42" s="3"/>
      <c r="O42" s="2"/>
      <c r="P42" s="3"/>
    </row>
    <row r="43" customFormat="false" ht="13.8" hidden="false" customHeight="false" outlineLevel="0" collapsed="false">
      <c r="A43" s="1"/>
      <c r="G43" s="2"/>
      <c r="H43" s="3"/>
      <c r="I43" s="2"/>
      <c r="J43" s="3"/>
      <c r="K43" s="2"/>
      <c r="L43" s="3"/>
      <c r="M43" s="2"/>
      <c r="N43" s="3"/>
      <c r="O43" s="2"/>
      <c r="P43" s="3"/>
    </row>
    <row r="44" customFormat="false" ht="13.8" hidden="false" customHeight="false" outlineLevel="0" collapsed="false">
      <c r="A44" s="1"/>
      <c r="G44" s="2"/>
      <c r="H44" s="3"/>
      <c r="I44" s="2"/>
      <c r="J44" s="3"/>
      <c r="K44" s="2"/>
      <c r="L44" s="3"/>
      <c r="M44" s="2"/>
      <c r="N44" s="3"/>
      <c r="O44" s="2"/>
      <c r="P44" s="3"/>
    </row>
    <row r="45" customFormat="false" ht="13.8" hidden="false" customHeight="false" outlineLevel="0" collapsed="false">
      <c r="A45" s="1"/>
      <c r="G45" s="2"/>
      <c r="H45" s="3"/>
      <c r="I45" s="2"/>
      <c r="J45" s="3"/>
      <c r="K45" s="2"/>
      <c r="L45" s="3"/>
      <c r="M45" s="2"/>
      <c r="N45" s="3"/>
      <c r="O45" s="2"/>
      <c r="P45" s="3"/>
    </row>
    <row r="46" customFormat="false" ht="13.8" hidden="false" customHeight="false" outlineLevel="0" collapsed="false">
      <c r="A46" s="1"/>
      <c r="G46" s="2"/>
      <c r="H46" s="3"/>
      <c r="I46" s="2"/>
      <c r="J46" s="3"/>
      <c r="K46" s="2"/>
      <c r="L46" s="3"/>
      <c r="M46" s="2"/>
      <c r="N46" s="3"/>
      <c r="O46" s="2"/>
      <c r="P46" s="3"/>
    </row>
    <row r="47" customFormat="false" ht="13.8" hidden="false" customHeight="false" outlineLevel="0" collapsed="false">
      <c r="A47" s="1"/>
      <c r="G47" s="2"/>
      <c r="H47" s="3"/>
      <c r="I47" s="2"/>
      <c r="J47" s="3"/>
      <c r="K47" s="2"/>
      <c r="L47" s="3"/>
      <c r="M47" s="2"/>
      <c r="N47" s="3"/>
      <c r="O47" s="2"/>
      <c r="P47" s="3"/>
    </row>
    <row r="48" customFormat="false" ht="13.8" hidden="false" customHeight="false" outlineLevel="0" collapsed="false">
      <c r="A48" s="1"/>
      <c r="G48" s="2"/>
      <c r="H48" s="3"/>
      <c r="I48" s="2"/>
      <c r="J48" s="3"/>
      <c r="K48" s="2"/>
      <c r="L48" s="3"/>
      <c r="M48" s="2"/>
      <c r="N48" s="3"/>
      <c r="O48" s="2"/>
      <c r="P48" s="3"/>
    </row>
    <row r="49" customFormat="false" ht="13.8" hidden="false" customHeight="false" outlineLevel="0" collapsed="false">
      <c r="A49" s="1"/>
      <c r="G49" s="2"/>
      <c r="H49" s="3"/>
      <c r="I49" s="2"/>
      <c r="J49" s="3"/>
      <c r="K49" s="2"/>
      <c r="L49" s="3"/>
      <c r="M49" s="2"/>
      <c r="N49" s="3"/>
      <c r="O49" s="2"/>
      <c r="P49" s="3"/>
    </row>
    <row r="50" customFormat="false" ht="13.8" hidden="false" customHeight="false" outlineLevel="0" collapsed="false">
      <c r="A50" s="1"/>
      <c r="G50" s="2"/>
      <c r="H50" s="3"/>
      <c r="I50" s="2"/>
      <c r="J50" s="3"/>
      <c r="K50" s="2"/>
      <c r="L50" s="3"/>
      <c r="M50" s="2"/>
      <c r="N50" s="3"/>
      <c r="O50" s="2"/>
      <c r="P50" s="3"/>
    </row>
    <row r="51" customFormat="false" ht="13.8" hidden="false" customHeight="false" outlineLevel="0" collapsed="false">
      <c r="A51" s="1"/>
      <c r="G51" s="2"/>
      <c r="H51" s="3"/>
      <c r="I51" s="2"/>
      <c r="J51" s="3"/>
      <c r="K51" s="2"/>
      <c r="L51" s="3"/>
      <c r="M51" s="2"/>
      <c r="N51" s="3"/>
      <c r="O51" s="2"/>
      <c r="P51" s="3"/>
    </row>
    <row r="52" customFormat="false" ht="13.8" hidden="false" customHeight="false" outlineLevel="0" collapsed="false">
      <c r="A52" s="1"/>
      <c r="G52" s="2"/>
      <c r="H52" s="3"/>
      <c r="I52" s="2"/>
      <c r="J52" s="3"/>
      <c r="K52" s="2"/>
      <c r="L52" s="3"/>
      <c r="M52" s="2"/>
      <c r="N52" s="3"/>
      <c r="O52" s="2"/>
      <c r="P52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0" width="11.44"/>
    <col collapsed="false" customWidth="true" hidden="false" outlineLevel="0" max="9" min="7" style="0" width="11.44"/>
  </cols>
  <sheetData>
    <row r="1" customFormat="false" ht="13.8" hidden="false" customHeight="false" outlineLevel="0" collapsed="false">
      <c r="A1" s="0" t="s">
        <v>32</v>
      </c>
      <c r="B1" s="0" t="s">
        <v>33</v>
      </c>
      <c r="C1" s="0" t="s">
        <v>34</v>
      </c>
      <c r="D1" s="0" t="s">
        <v>35</v>
      </c>
      <c r="E1" s="0" t="s">
        <v>36</v>
      </c>
      <c r="F1" s="0" t="s">
        <v>37</v>
      </c>
      <c r="G1" s="0" t="s">
        <v>38</v>
      </c>
      <c r="H1" s="0" t="s">
        <v>39</v>
      </c>
      <c r="I1" s="0" t="s">
        <v>40</v>
      </c>
      <c r="J1" s="0" t="s">
        <v>41</v>
      </c>
      <c r="K1" s="0" t="s">
        <v>42</v>
      </c>
    </row>
    <row r="2" customFormat="false" ht="13.8" hidden="false" customHeight="false" outlineLevel="0" collapsed="false">
      <c r="A2" s="0" t="s">
        <v>43</v>
      </c>
      <c r="B2" s="3" t="n">
        <f aca="false">SUM(INDEX(Work!$2:$10000, , MATCH("EV "&amp;TEXT(A2,"mm-dd"), Work!$1:$1, 0)))</f>
        <v>0.1</v>
      </c>
      <c r="C2" s="3" t="n">
        <f aca="false">SUM(INDEX(Work!$2:$10000, , MATCH("Size", Work!$1:$1, 0)))-B2</f>
        <v>31.9</v>
      </c>
    </row>
    <row r="3" customFormat="false" ht="13.8" hidden="false" customHeight="false" outlineLevel="0" collapsed="false">
      <c r="A3" s="0" t="s">
        <v>44</v>
      </c>
      <c r="B3" s="3" t="n">
        <f aca="false">SUM(INDEX(Work!$2:$10000, , MATCH("EV "&amp;TEXT(A3,"mm-dd"), Work!$1:$1, 0)))</f>
        <v>1.2</v>
      </c>
      <c r="C3" s="3" t="n">
        <f aca="false">SUM(INDEX(Work!$2:$10000, , MATCH("Size", Work!$1:$1, 0)))-B3</f>
        <v>30.8</v>
      </c>
      <c r="D3" s="3" t="n">
        <f aca="false">B3-B2</f>
        <v>1.1</v>
      </c>
    </row>
    <row r="4" customFormat="false" ht="13.8" hidden="false" customHeight="false" outlineLevel="0" collapsed="false">
      <c r="A4" s="0" t="s">
        <v>45</v>
      </c>
      <c r="B4" s="3" t="n">
        <f aca="false">SUM(INDEX(Work!$2:$10000, , MATCH("EV "&amp;TEXT(A4,"mm-dd"), Work!$1:$1, 0)))</f>
        <v>2.7</v>
      </c>
      <c r="C4" s="3" t="n">
        <f aca="false">SUM(INDEX(Work!$2:$10000, , MATCH("Size", Work!$1:$1, 0)))-B4</f>
        <v>29.3</v>
      </c>
      <c r="D4" s="3" t="n">
        <f aca="false">B4-B3</f>
        <v>1.5</v>
      </c>
      <c r="E4" s="3" t="n">
        <f aca="true">AVERAGE(OFFSET(D4, -1 * (MIN(COUNT(D$3:D4),12) -1), 0, MIN(COUNT(D$3:D4),12), 1))</f>
        <v>1.3</v>
      </c>
    </row>
    <row r="5" customFormat="false" ht="13.8" hidden="false" customHeight="false" outlineLevel="0" collapsed="false">
      <c r="A5" s="0" t="s">
        <v>46</v>
      </c>
      <c r="B5" s="3" t="n">
        <f aca="false">SUM(INDEX(Work!$2:$10000, , MATCH("EV "&amp;TEXT(A5,"mm-dd"), Work!$1:$1, 0)))</f>
        <v>8.4</v>
      </c>
      <c r="C5" s="3" t="n">
        <f aca="false">SUM(INDEX(Work!$2:$10000, , MATCH("Size", Work!$1:$1, 0)))-B5</f>
        <v>23.6</v>
      </c>
      <c r="D5" s="3" t="n">
        <f aca="false">B5-B4</f>
        <v>5.7</v>
      </c>
      <c r="E5" s="3" t="n">
        <f aca="true">AVERAGE(OFFSET(D5, -1 * (MIN(COUNT(D$3:D5),12) -1), 0, MIN(COUNT(D$3:D5),12), 1))</f>
        <v>2.76666666666667</v>
      </c>
      <c r="F5" s="3" t="n">
        <f aca="true">STDEV(OFFSET(D5, -1 * (MIN(COUNT(D$3:D5),12) -1), 0, MIN(COUNT(D$3:D5),12), 1))</f>
        <v>2.54820198048219</v>
      </c>
      <c r="G5" s="4" t="n">
        <f aca="false">WORKDAY(A5, CEILING((C5/J5)*5, 1))</f>
        <v>46015</v>
      </c>
      <c r="H5" s="4" t="n">
        <f aca="false">WORKDAY(A5, CEILING((C5/E5)*5, 1))</f>
        <v>46043</v>
      </c>
      <c r="I5" s="4" t="n">
        <f aca="false">WORKDAY(A5, CEILING((C5/K5)*5, 1))</f>
        <v>46741</v>
      </c>
      <c r="J5" s="3" t="n">
        <f aca="false">E5+(1*F5)</f>
        <v>5.31486864714885</v>
      </c>
      <c r="K5" s="3" t="n">
        <f aca="false">E5-(1*F5)</f>
        <v>0.218464686184481</v>
      </c>
    </row>
    <row r="6" customFormat="false" ht="13.8" hidden="false" customHeight="false" outlineLevel="0" collapsed="false">
      <c r="A6" s="0" t="s">
        <v>47</v>
      </c>
      <c r="B6" s="3" t="n">
        <f aca="false">SUM(INDEX(Work!$2:$10000, , MATCH("EV "&amp;TEXT(A6,"mm-dd"), Work!$1:$1, 0)))</f>
        <v>11.3</v>
      </c>
      <c r="C6" s="3" t="n">
        <f aca="false">SUM(INDEX(Work!$2:$10000, , MATCH("Size", Work!$1:$1, 0)))-B6</f>
        <v>20.7</v>
      </c>
      <c r="D6" s="3" t="n">
        <f aca="false">B6-B5</f>
        <v>2.9</v>
      </c>
      <c r="E6" s="3" t="n">
        <f aca="true">AVERAGE(OFFSET(D6, -1 * (MIN(COUNT(D$3:D6),12) -1), 0, MIN(COUNT(D$3:D6),12), 1))</f>
        <v>2.8</v>
      </c>
      <c r="F6" s="3" t="n">
        <f aca="true">STDEV(OFFSET(D6, -1 * (MIN(COUNT(D$3:D6),12) -1), 0, MIN(COUNT(D$3:D6),12), 1))</f>
        <v>2.08166599946613</v>
      </c>
      <c r="G6" s="4" t="n">
        <f aca="false">WORKDAY(A6, CEILING((C6/J6)*5, 1))</f>
        <v>46021</v>
      </c>
      <c r="H6" s="4" t="n">
        <f aca="false">WORKDAY(A6, CEILING((C6/E6)*5, 1))</f>
        <v>46042</v>
      </c>
      <c r="I6" s="4" t="n">
        <f aca="false">WORKDAY(A6, CEILING((C6/K6)*5, 1))</f>
        <v>46192</v>
      </c>
      <c r="J6" s="3" t="n">
        <f aca="false">E6+(1*F6)</f>
        <v>4.88166599946613</v>
      </c>
      <c r="K6" s="3" t="n">
        <f aca="false">E6-(1*F6)</f>
        <v>0.718334000533867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xuri</dc:creator>
  <dc:description/>
  <dc:language>en-US</dc:language>
  <cp:lastModifiedBy/>
  <dcterms:modified xsi:type="dcterms:W3CDTF">2025-11-28T23:13:22Z</dcterms:modified>
  <cp:revision>1</cp:revision>
  <dc:subject/>
  <dc:title/>
</cp:coreProperties>
</file>