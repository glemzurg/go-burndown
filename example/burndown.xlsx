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ork" sheetId="2" r:id="rId4"/>
    <sheet name="Projections" sheetId="3" r:id="rId6"/>
  </sheets>
  <calcPr calcId="122211"/>
</workbook>
</file>

<file path=xl/sharedStrings.xml><?xml version="1.0" encoding="utf-8"?>
<sst xmlns="http://schemas.openxmlformats.org/spreadsheetml/2006/main" count="64" uniqueCount="64">
  <si>
    <t>Issue Key</t>
  </si>
  <si>
    <t>Summary</t>
  </si>
  <si>
    <t>Type</t>
  </si>
  <si>
    <t>Status</t>
  </si>
  <si>
    <t>Assignee</t>
  </si>
  <si>
    <t>Size</t>
  </si>
  <si>
    <t>% 08-18</t>
  </si>
  <si>
    <t>EV 08-18</t>
  </si>
  <si>
    <t>% 08-11</t>
  </si>
  <si>
    <t>EV 08-11</t>
  </si>
  <si>
    <t>% 08-04</t>
  </si>
  <si>
    <t>EV 08-04</t>
  </si>
  <si>
    <t>% 07-28</t>
  </si>
  <si>
    <t>EV 07-28</t>
  </si>
  <si>
    <t>% 07-21</t>
  </si>
  <si>
    <t>EV 07-21</t>
  </si>
  <si>
    <t>% 07-14</t>
  </si>
  <si>
    <t>EV 07-14</t>
  </si>
  <si>
    <t>% 07-07</t>
  </si>
  <si>
    <t>EV 07-07</t>
  </si>
  <si>
    <t>% 06-30</t>
  </si>
  <si>
    <t>EV 06-30</t>
  </si>
  <si>
    <t>TICKET-1234</t>
  </si>
  <si>
    <t>Work stuff</t>
  </si>
  <si>
    <t>Task</t>
  </si>
  <si>
    <t>Done</t>
  </si>
  <si>
    <t>Alice</t>
  </si>
  <si>
    <t>TICKET-1235</t>
  </si>
  <si>
    <t>More work stuff</t>
  </si>
  <si>
    <t>Bug</t>
  </si>
  <si>
    <t>Bob</t>
  </si>
  <si>
    <t>TICKET-1236</t>
  </si>
  <si>
    <t>Big work stuff</t>
  </si>
  <si>
    <t>Story</t>
  </si>
  <si>
    <t>In Progress</t>
  </si>
  <si>
    <t>Carol</t>
  </si>
  <si>
    <t>TICKET-1237</t>
  </si>
  <si>
    <t>Tall work stuff</t>
  </si>
  <si>
    <t>TICKET-1238</t>
  </si>
  <si>
    <t>Short work stuff</t>
  </si>
  <si>
    <t>TICKET-1239</t>
  </si>
  <si>
    <t>A big block of work stuff</t>
  </si>
  <si>
    <t>Epic</t>
  </si>
  <si>
    <t>To Do</t>
  </si>
  <si>
    <t>Dana</t>
  </si>
  <si>
    <t>Date</t>
  </si>
  <si>
    <t>Completed</t>
  </si>
  <si>
    <t>Remaining</t>
  </si>
  <si>
    <t>Velocity</t>
  </si>
  <si>
    <t>Avg (3w)</t>
  </si>
  <si>
    <t>StdDev (3w)</t>
  </si>
  <si>
    <t>Fast (p90)</t>
  </si>
  <si>
    <t>Mean</t>
  </si>
  <si>
    <t>Slow (p90)</t>
  </si>
  <si>
    <t>V. Fast (p90)</t>
  </si>
  <si>
    <t>V. Slow (p90)</t>
  </si>
  <si>
    <t>2026-06-30</t>
  </si>
  <si>
    <t>2026-07-07</t>
  </si>
  <si>
    <t>2026-07-14</t>
  </si>
  <si>
    <t>2026-07-21</t>
  </si>
  <si>
    <t>2026-07-28</t>
  </si>
  <si>
    <t>2026-08-04</t>
  </si>
  <si>
    <t>2026-08-11</t>
  </si>
  <si>
    <t>2026-08-18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</si>
</sst>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
    <numFmt numFmtId="165" formatCode="yyyy-mm-dd"/>
    <numFmt numFmtId="166" formatCode="0.0"/>
  </numFmts>
  <fonts count="2">
    <font>
      <name val="Calibri"/>
      <family val="2"/>
      <color theme="1"/>
      <sz val="11"/>
    </font>
    <font>
      <family val="2"/>
      <color rgb="FF0000FF"/>
      <u val="single"/>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example.atlassian.net/browse/TICKET-1234" Type="http://schemas.openxmlformats.org/officeDocument/2006/relationships/hyperlink" TargetMode="External"></Relationship><Relationship Id="rId2" Target="https://example.atlassian.net/browse/TICKET-1235" Type="http://schemas.openxmlformats.org/officeDocument/2006/relationships/hyperlink" TargetMode="External"></Relationship><Relationship Id="rId3" Target="https://example.atlassian.net/browse/TICKET-1236" Type="http://schemas.openxmlformats.org/officeDocument/2006/relationships/hyperlink" TargetMode="External"></Relationship><Relationship Id="rId4" Target="https://example.atlassian.net/browse/TICKET-1237" Type="http://schemas.openxmlformats.org/officeDocument/2006/relationships/hyperlink" TargetMode="External"></Relationship><Relationship Id="rId5" Target="https://example.atlassian.net/browse/TICKET-1238" Type="http://schemas.openxmlformats.org/officeDocument/2006/relationships/hyperlink" TargetMode="External"></Relationship><Relationship Id="rId6" Target="https://example.atlassian.net/browse/TICKET-1239"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s="1" t="s">
        <v>22</v>
      </c>
      <c r="B2" t="s">
        <v>23</v>
      </c>
      <c r="C2" t="s">
        <v>24</v>
      </c>
      <c r="D2" t="s">
        <v>25</v>
      </c>
      <c r="E2" t="s">
        <v>26</v>
      </c>
      <c r="F2">
        <v>1</v>
      </c>
      <c r="G2" s="2">
        <v>1</v>
      </c>
      <c r="H2" s="4" t="str">
        <f>=IF(G2=0, "", G2 * HLOOKUP("Size", 1:2, 2, 0))</f>
      </c>
      <c r="I2" s="2">
        <v>1</v>
      </c>
      <c r="J2" s="4" t="str">
        <f>=IF(I2=0, "", I2 * HLOOKUP("Size", 1:2, 2, 0))</f>
      </c>
      <c r="K2" s="2">
        <v>0.95</v>
      </c>
      <c r="L2" s="4" t="str">
        <f>=IF(K2=0, "", K2 * HLOOKUP("Size", 1:2, 2, 0))</f>
      </c>
      <c r="M2" s="2">
        <v>0.85</v>
      </c>
      <c r="N2" s="4" t="str">
        <f>=IF(M2=0, "", M2 * HLOOKUP("Size", 1:2, 2, 0))</f>
      </c>
      <c r="O2" s="2">
        <v>0.75</v>
      </c>
      <c r="P2" s="4" t="str">
        <f>=IF(O2=0, "", O2 * HLOOKUP("Size", 1:2, 2, 0))</f>
      </c>
      <c r="Q2" s="2">
        <v>0.65</v>
      </c>
      <c r="R2" s="4" t="str">
        <f>=IF(Q2=0, "", Q2 * HLOOKUP("Size", 1:2, 2, 0))</f>
      </c>
      <c r="S2" s="2">
        <v>0.5</v>
      </c>
      <c r="T2" s="4" t="str">
        <f>=IF(S2=0, "", S2 * HLOOKUP("Size", 1:2, 2, 0))</f>
      </c>
      <c r="U2" s="2">
        <v>0.2</v>
      </c>
      <c r="V2" s="4" t="str">
        <f>=IF(U2=0, "", U2 * HLOOKUP("Size", 1:2, 2, 0))</f>
      </c>
    </row>
    <row r="3">
      <c r="A3" s="1" t="s">
        <v>27</v>
      </c>
      <c r="B3" t="s">
        <v>28</v>
      </c>
      <c r="C3" t="s">
        <v>29</v>
      </c>
      <c r="D3" t="s">
        <v>25</v>
      </c>
      <c r="E3" t="s">
        <v>30</v>
      </c>
      <c r="F3">
        <v>2</v>
      </c>
      <c r="G3" s="2">
        <v>1</v>
      </c>
      <c r="H3" s="4" t="str">
        <f>=IF(G3=0, "", G3 * HLOOKUP("Size", 1:3, 3, 0))</f>
      </c>
      <c r="I3" s="2">
        <v>1</v>
      </c>
      <c r="J3" s="4" t="str">
        <f>=IF(I3=0, "", I3 * HLOOKUP("Size", 1:3, 3, 0))</f>
      </c>
      <c r="K3" s="2">
        <v>1</v>
      </c>
      <c r="L3" s="4" t="str">
        <f>=IF(K3=0, "", K3 * HLOOKUP("Size", 1:3, 3, 0))</f>
      </c>
      <c r="M3" s="2">
        <v>1</v>
      </c>
      <c r="N3" s="4" t="str">
        <f>=IF(M3=0, "", M3 * HLOOKUP("Size", 1:3, 3, 0))</f>
      </c>
      <c r="O3" s="2">
        <v>1</v>
      </c>
      <c r="P3" s="4" t="str">
        <f>=IF(O3=0, "", O3 * HLOOKUP("Size", 1:3, 3, 0))</f>
      </c>
      <c r="Q3" s="2">
        <v>1</v>
      </c>
      <c r="R3" s="4" t="str">
        <f>=IF(Q3=0, "", Q3 * HLOOKUP("Size", 1:3, 3, 0))</f>
      </c>
      <c r="S3" s="2">
        <v>1</v>
      </c>
      <c r="T3" s="4" t="str">
        <f>=IF(S3=0, "", S3 * HLOOKUP("Size", 1:3, 3, 0))</f>
      </c>
      <c r="U3" s="2"/>
      <c r="V3" s="4" t="str">
        <f>=IF(U3=0, "", U3 * HLOOKUP("Size", 1:3, 3, 0))</f>
      </c>
    </row>
    <row r="4">
      <c r="A4" s="1" t="s">
        <v>31</v>
      </c>
      <c r="B4" t="s">
        <v>32</v>
      </c>
      <c r="C4" t="s">
        <v>33</v>
      </c>
      <c r="D4" t="s">
        <v>34</v>
      </c>
      <c r="E4" t="s">
        <v>35</v>
      </c>
      <c r="F4">
        <v>3</v>
      </c>
      <c r="G4" s="2">
        <v>0.6</v>
      </c>
      <c r="H4" s="4" t="str">
        <f>=IF(G4=0, "", G4 * HLOOKUP("Size", 1:4, 4, 0))</f>
      </c>
      <c r="I4" s="2">
        <v>0.6</v>
      </c>
      <c r="J4" s="4" t="str">
        <f>=IF(I4=0, "", I4 * HLOOKUP("Size", 1:4, 4, 0))</f>
      </c>
      <c r="K4" s="2">
        <v>0.5</v>
      </c>
      <c r="L4" s="4" t="str">
        <f>=IF(K4=0, "", K4 * HLOOKUP("Size", 1:4, 4, 0))</f>
      </c>
      <c r="M4" s="2">
        <v>0.4</v>
      </c>
      <c r="N4" s="4" t="str">
        <f>=IF(M4=0, "", M4 * HLOOKUP("Size", 1:4, 4, 0))</f>
      </c>
      <c r="O4" s="2">
        <v>0.3</v>
      </c>
      <c r="P4" s="4" t="str">
        <f>=IF(O4=0, "", O4 * HLOOKUP("Size", 1:4, 4, 0))</f>
      </c>
      <c r="Q4" s="2">
        <v>0.2</v>
      </c>
      <c r="R4" s="4" t="str">
        <f>=IF(Q4=0, "", Q4 * HLOOKUP("Size", 1:4, 4, 0))</f>
      </c>
      <c r="S4" s="2">
        <v>0.1</v>
      </c>
      <c r="T4" s="4" t="str">
        <f>=IF(S4=0, "", S4 * HLOOKUP("Size", 1:4, 4, 0))</f>
      </c>
      <c r="U4" s="2"/>
      <c r="V4" s="4" t="str">
        <f>=IF(U4=0, "", U4 * HLOOKUP("Size", 1:4, 4, 0))</f>
      </c>
    </row>
    <row r="5">
      <c r="A5" s="1" t="s">
        <v>36</v>
      </c>
      <c r="B5" t="s">
        <v>37</v>
      </c>
      <c r="C5" t="s">
        <v>33</v>
      </c>
      <c r="D5" t="s">
        <v>34</v>
      </c>
      <c r="E5" t="s">
        <v>30</v>
      </c>
      <c r="F5">
        <v>5</v>
      </c>
      <c r="G5" s="2">
        <v>0.62</v>
      </c>
      <c r="H5" s="4" t="str">
        <f>=IF(G5=0, "", G5 * HLOOKUP("Size", 1:5, 5, 0))</f>
      </c>
      <c r="I5" s="2">
        <v>0.62</v>
      </c>
      <c r="J5" s="4" t="str">
        <f>=IF(I5=0, "", I5 * HLOOKUP("Size", 1:5, 5, 0))</f>
      </c>
      <c r="K5" s="2">
        <v>0.52</v>
      </c>
      <c r="L5" s="4" t="str">
        <f>=IF(K5=0, "", K5 * HLOOKUP("Size", 1:5, 5, 0))</f>
      </c>
      <c r="M5" s="2">
        <v>0.42</v>
      </c>
      <c r="N5" s="4" t="str">
        <f>=IF(M5=0, "", M5 * HLOOKUP("Size", 1:5, 5, 0))</f>
      </c>
      <c r="O5" s="2">
        <v>0.3</v>
      </c>
      <c r="P5" s="4" t="str">
        <f>=IF(O5=0, "", O5 * HLOOKUP("Size", 1:5, 5, 0))</f>
      </c>
      <c r="Q5" s="2">
        <v>0.2</v>
      </c>
      <c r="R5" s="4" t="str">
        <f>=IF(Q5=0, "", Q5 * HLOOKUP("Size", 1:5, 5, 0))</f>
      </c>
      <c r="S5" s="2">
        <v>0.1</v>
      </c>
      <c r="T5" s="4" t="str">
        <f>=IF(S5=0, "", S5 * HLOOKUP("Size", 1:5, 5, 0))</f>
      </c>
      <c r="U5" s="2"/>
      <c r="V5" s="4" t="str">
        <f>=IF(U5=0, "", U5 * HLOOKUP("Size", 1:5, 5, 0))</f>
      </c>
    </row>
    <row r="6">
      <c r="A6" s="1" t="s">
        <v>38</v>
      </c>
      <c r="B6" t="s">
        <v>39</v>
      </c>
      <c r="C6" t="s">
        <v>24</v>
      </c>
      <c r="D6" t="s">
        <v>34</v>
      </c>
      <c r="E6" t="s">
        <v>26</v>
      </c>
      <c r="F6">
        <v>8</v>
      </c>
      <c r="G6" s="2">
        <v>0.35</v>
      </c>
      <c r="H6" s="4" t="str">
        <f>=IF(G6=0, "", G6 * HLOOKUP("Size", 1:6, 6, 0))</f>
      </c>
      <c r="I6" s="2">
        <v>0.35</v>
      </c>
      <c r="J6" s="4" t="str">
        <f>=IF(I6=0, "", I6 * HLOOKUP("Size", 1:6, 6, 0))</f>
      </c>
      <c r="K6" s="2">
        <v>0.28</v>
      </c>
      <c r="L6" s="4" t="str">
        <f>=IF(K6=0, "", K6 * HLOOKUP("Size", 1:6, 6, 0))</f>
      </c>
      <c r="M6" s="2">
        <v>0.22</v>
      </c>
      <c r="N6" s="4" t="str">
        <f>=IF(M6=0, "", M6 * HLOOKUP("Size", 1:6, 6, 0))</f>
      </c>
      <c r="O6" s="2">
        <v>0.16</v>
      </c>
      <c r="P6" s="4" t="str">
        <f>=IF(O6=0, "", O6 * HLOOKUP("Size", 1:6, 6, 0))</f>
      </c>
      <c r="Q6" s="2">
        <v>0.1</v>
      </c>
      <c r="R6" s="4" t="str">
        <f>=IF(Q6=0, "", Q6 * HLOOKUP("Size", 1:6, 6, 0))</f>
      </c>
      <c r="S6" s="2">
        <v>0.05</v>
      </c>
      <c r="T6" s="4" t="str">
        <f>=IF(S6=0, "", S6 * HLOOKUP("Size", 1:6, 6, 0))</f>
      </c>
      <c r="U6" s="2"/>
      <c r="V6" s="4" t="str">
        <f>=IF(U6=0, "", U6 * HLOOKUP("Size", 1:6, 6, 0))</f>
      </c>
    </row>
    <row r="7">
      <c r="A7" s="1" t="s">
        <v>40</v>
      </c>
      <c r="B7" t="s">
        <v>41</v>
      </c>
      <c r="C7" t="s">
        <v>42</v>
      </c>
      <c r="D7" t="s">
        <v>43</v>
      </c>
      <c r="E7" t="s">
        <v>44</v>
      </c>
      <c r="F7">
        <v>13</v>
      </c>
      <c r="G7" s="2"/>
      <c r="H7" s="4" t="str">
        <f>=IF(G7=0, "", G7 * HLOOKUP("Size", 1:7, 7, 0))</f>
      </c>
      <c r="I7" s="2"/>
      <c r="J7" s="4" t="str">
        <f>=IF(I7=0, "", I7 * HLOOKUP("Size", 1:7, 7, 0))</f>
      </c>
      <c r="K7" s="2"/>
      <c r="L7" s="4" t="str">
        <f>=IF(K7=0, "", K7 * HLOOKUP("Size", 1:7, 7, 0))</f>
      </c>
      <c r="M7" s="2"/>
      <c r="N7" s="4" t="str">
        <f>=IF(M7=0, "", M7 * HLOOKUP("Size", 1:7, 7, 0))</f>
      </c>
      <c r="O7" s="2"/>
      <c r="P7" s="4" t="str">
        <f>=IF(O7=0, "", O7 * HLOOKUP("Size", 1:7, 7, 0))</f>
      </c>
      <c r="Q7" s="2"/>
      <c r="R7" s="4" t="str">
        <f>=IF(Q7=0, "", Q7 * HLOOKUP("Size", 1:7, 7, 0))</f>
      </c>
      <c r="S7" s="2"/>
      <c r="T7" s="4" t="str">
        <f>=IF(S7=0, "", S7 * HLOOKUP("Size", 1:7, 7, 0))</f>
      </c>
      <c r="U7" s="2"/>
      <c r="V7" s="4" t="str">
        <f>=IF(U7=0, "", U7 * HLOOKUP("Size", 1:7, 7, 0))</f>
      </c>
    </row>
  </sheetData>
  <hyperlinks>
    <hyperlink ref="A2" display="TICKET-1234" r:id="rId1"/>
    <hyperlink ref="A3" display="TICKET-1235" r:id="rId2"/>
    <hyperlink ref="A4" display="TICKET-1236" r:id="rId3"/>
    <hyperlink ref="A5" display="TICKET-1237" r:id="rId4"/>
    <hyperlink ref="A6" display="TICKET-1238" r:id="rId5"/>
    <hyperlink ref="A7" display="TICKET-1239" r:id="rId6"/>
  </hyperlinks>
</worksheet>
</file>

<file path=xl/worksheets/sheet3.xml><?xml version="1.0" encoding="utf-8"?>
<worksheet xmlns="http://schemas.openxmlformats.org/spreadsheetml/2006/main">
  <dimension ref="A1"/>
  <sheetViews>
    <sheetView workbookViewId="0"/>
  </sheetViews>
  <sheetData>
    <row r="1">
      <c r="A1" t="s">
        <v>45</v>
      </c>
      <c r="B1" t="s">
        <v>46</v>
      </c>
      <c r="C1" t="s">
        <v>47</v>
      </c>
      <c r="D1" t="s">
        <v>48</v>
      </c>
      <c r="E1" t="s">
        <v>49</v>
      </c>
      <c r="F1" t="s">
        <v>50</v>
      </c>
      <c r="G1" t="s">
        <v>51</v>
      </c>
      <c r="H1" t="s">
        <v>52</v>
      </c>
      <c r="I1" t="s">
        <v>53</v>
      </c>
      <c r="J1" t="s">
        <v>54</v>
      </c>
      <c r="K1" t="s">
        <v>55</v>
      </c>
    </row>
    <row r="2">
      <c r="A2" t="s">
        <v>56</v>
      </c>
      <c r="B2" s="4" t="str">
        <f>=SUM(INDEX(Work!$2:$10000, , MATCH("EV "&amp;TEXT(A2,"mm-dd"), Work!$1:$1, 0)))</f>
      </c>
      <c r="C2" s="4" t="str">
        <f>=SUM(INDEX(Work!$2:$10000, , MATCH("Size", Work!$1:$1, 0)))-B2</f>
      </c>
    </row>
    <row r="3">
      <c r="A3" t="s">
        <v>57</v>
      </c>
      <c r="B3" s="4" t="str">
        <f>=SUM(INDEX(Work!$2:$10000, , MATCH("EV "&amp;TEXT(A3,"mm-dd"), Work!$1:$1, 0)))</f>
      </c>
      <c r="C3" s="4" t="str">
        <f>=SUM(INDEX(Work!$2:$10000, , MATCH("Size", Work!$1:$1, 0)))-B3</f>
      </c>
      <c r="D3" s="4" t="str">
        <f>=B3-B2</f>
      </c>
    </row>
    <row r="4">
      <c r="A4" t="s">
        <v>58</v>
      </c>
      <c r="B4" s="4" t="str">
        <f>=SUM(INDEX(Work!$2:$10000, , MATCH("EV "&amp;TEXT(A4,"mm-dd"), Work!$1:$1, 0)))</f>
      </c>
      <c r="C4" s="4" t="str">
        <f>=SUM(INDEX(Work!$2:$10000, , MATCH("Size", Work!$1:$1, 0)))-B4</f>
      </c>
      <c r="D4" s="4" t="str">
        <f>=B4-B3</f>
      </c>
      <c r="E4" s="4" t="str">
        <f>=AVERAGE(OFFSET(D4, -1 * (MIN(COUNT(D$3:D4),3) -1), 0, MIN(COUNT(D$3:D4),3), 1))</f>
      </c>
    </row>
    <row r="5">
      <c r="A5" t="s">
        <v>59</v>
      </c>
      <c r="B5" s="4" t="str">
        <f>=SUM(INDEX(Work!$2:$10000, , MATCH("EV "&amp;TEXT(A5,"mm-dd"), Work!$1:$1, 0)))</f>
      </c>
      <c r="C5" s="4" t="str">
        <f>=SUM(INDEX(Work!$2:$10000, , MATCH("Size", Work!$1:$1, 0)))-B5</f>
      </c>
      <c r="D5" s="4" t="str">
        <f>=B5-B4</f>
      </c>
      <c r="E5" s="4" t="str">
        <f>=AVERAGE(OFFSET(D5, -1 * (MIN(COUNT(D$3:D5),3) -1), 0, MIN(COUNT(D$3:D5),3), 1))</f>
      </c>
      <c r="F5" s="4" t="str">
        <f>=STDEV(OFFSET(D5, -1 * (MIN(COUNT(D$3:D5),3) -1), 0, MIN(COUNT(D$3:D5),3), 1))</f>
      </c>
      <c r="G5" s="3" t="str">
        <f>=WORKDAY(A5, CEILING((C5/J5)*5, 1))</f>
      </c>
      <c r="H5" s="3" t="str">
        <f>=WORKDAY(A5, CEILING((C5/E5)*5, 1))</f>
      </c>
      <c r="I5" s="3" t="str">
        <f>=IF(K5&lt;=0,"unknown",WORKDAY(A5,CEILING((C5/K5)*5,1)))</f>
      </c>
      <c r="J5" s="4" t="str">
        <f>=E5+_xlfn.CONFIDENCE.T(0.1,F5,MIN(3,COUNT(D$3:D5)))</f>
      </c>
      <c r="K5" s="4" t="str">
        <f>=E5-_xlfn.CONFIDENCE.T(0.1,F5,MIN(3,COUNT(D$3:D5)))</f>
      </c>
    </row>
    <row r="6">
      <c r="A6" t="s">
        <v>60</v>
      </c>
      <c r="B6" s="4" t="str">
        <f>=SUM(INDEX(Work!$2:$10000, , MATCH("EV "&amp;TEXT(A6,"mm-dd"), Work!$1:$1, 0)))</f>
      </c>
      <c r="C6" s="4" t="str">
        <f>=SUM(INDEX(Work!$2:$10000, , MATCH("Size", Work!$1:$1, 0)))-B6</f>
      </c>
      <c r="D6" s="4" t="str">
        <f>=B6-B5</f>
      </c>
      <c r="E6" s="4" t="str">
        <f>=AVERAGE(OFFSET(D6, -1 * (MIN(COUNT(D$3:D6),3) -1), 0, MIN(COUNT(D$3:D6),3), 1))</f>
      </c>
      <c r="F6" s="4" t="str">
        <f>=STDEV(OFFSET(D6, -1 * (MIN(COUNT(D$3:D6),3) -1), 0, MIN(COUNT(D$3:D6),3), 1))</f>
      </c>
      <c r="G6" s="3" t="str">
        <f>=WORKDAY(A6, CEILING((C6/J6)*5, 1))</f>
      </c>
      <c r="H6" s="3" t="str">
        <f>=WORKDAY(A6, CEILING((C6/E6)*5, 1))</f>
      </c>
      <c r="I6" s="3" t="str">
        <f>=IF(K6&lt;=0,"unknown",WORKDAY(A6,CEILING((C6/K6)*5,1)))</f>
      </c>
      <c r="J6" s="4" t="str">
        <f>=E6+_xlfn.CONFIDENCE.T(0.1,F6,MIN(3,COUNT(D$3:D6)))</f>
      </c>
      <c r="K6" s="4" t="str">
        <f>=E6-_xlfn.CONFIDENCE.T(0.1,F6,MIN(3,COUNT(D$3:D6)))</f>
      </c>
    </row>
    <row r="7">
      <c r="A7" t="s">
        <v>61</v>
      </c>
      <c r="B7" s="4" t="str">
        <f>=SUM(INDEX(Work!$2:$10000, , MATCH("EV "&amp;TEXT(A7,"mm-dd"), Work!$1:$1, 0)))</f>
      </c>
      <c r="C7" s="4" t="str">
        <f>=SUM(INDEX(Work!$2:$10000, , MATCH("Size", Work!$1:$1, 0)))-B7</f>
      </c>
      <c r="D7" s="4" t="str">
        <f>=B7-B6</f>
      </c>
      <c r="E7" s="4" t="str">
        <f>=AVERAGE(OFFSET(D7, -1 * (MIN(COUNT(D$3:D7),3) -1), 0, MIN(COUNT(D$3:D7),3), 1))</f>
      </c>
      <c r="F7" s="4" t="str">
        <f>=STDEV(OFFSET(D7, -1 * (MIN(COUNT(D$3:D7),3) -1), 0, MIN(COUNT(D$3:D7),3), 1))</f>
      </c>
      <c r="G7" s="3" t="str">
        <f>=WORKDAY(A7, CEILING((C7/J7)*5, 1))</f>
      </c>
      <c r="H7" s="3" t="str">
        <f>=WORKDAY(A7, CEILING((C7/E7)*5, 1))</f>
      </c>
      <c r="I7" s="3" t="str">
        <f>=IF(K7&lt;=0,"unknown",WORKDAY(A7,CEILING((C7/K7)*5,1)))</f>
      </c>
      <c r="J7" s="4" t="str">
        <f>=E7+_xlfn.CONFIDENCE.T(0.1,F7,MIN(3,COUNT(D$3:D7)))</f>
      </c>
      <c r="K7" s="4" t="str">
        <f>=E7-_xlfn.CONFIDENCE.T(0.1,F7,MIN(3,COUNT(D$3:D7)))</f>
      </c>
    </row>
    <row r="8">
      <c r="A8" t="s">
        <v>62</v>
      </c>
      <c r="B8" s="4" t="str">
        <f>=SUM(INDEX(Work!$2:$10000, , MATCH("EV "&amp;TEXT(A8,"mm-dd"), Work!$1:$1, 0)))</f>
      </c>
      <c r="C8" s="4" t="str">
        <f>=SUM(INDEX(Work!$2:$10000, , MATCH("Size", Work!$1:$1, 0)))-B8</f>
      </c>
      <c r="D8" s="4" t="str">
        <f>=B8-B7</f>
      </c>
      <c r="E8" s="4" t="str">
        <f>=AVERAGE(OFFSET(D8, -1 * (MIN(COUNT(D$3:D8),3) -1), 0, MIN(COUNT(D$3:D8),3), 1))</f>
      </c>
      <c r="F8" s="4" t="str">
        <f>=STDEV(OFFSET(D8, -1 * (MIN(COUNT(D$3:D8),3) -1), 0, MIN(COUNT(D$3:D8),3), 1))</f>
      </c>
      <c r="G8" s="3" t="str">
        <f>=WORKDAY(A8, CEILING((C8/J8)*5, 1))</f>
      </c>
      <c r="H8" s="3" t="str">
        <f>=WORKDAY(A8, CEILING((C8/E8)*5, 1))</f>
      </c>
      <c r="I8" s="3" t="str">
        <f>=IF(K8&lt;=0,"unknown",WORKDAY(A8,CEILING((C8/K8)*5,1)))</f>
      </c>
      <c r="J8" s="4" t="str">
        <f>=E8+_xlfn.CONFIDENCE.T(0.1,F8,MIN(3,COUNT(D$3:D8)))</f>
      </c>
      <c r="K8" s="4" t="str">
        <f>=E8-_xlfn.CONFIDENCE.T(0.1,F8,MIN(3,COUNT(D$3:D8)))</f>
      </c>
    </row>
    <row r="9">
      <c r="A9" t="s">
        <v>63</v>
      </c>
      <c r="B9" s="4" t="str">
        <f>=SUM(INDEX(Work!$2:$10000, , MATCH("EV "&amp;TEXT(A9,"mm-dd"), Work!$1:$1, 0)))</f>
      </c>
      <c r="C9" s="4" t="str">
        <f>=SUM(INDEX(Work!$2:$10000, , MATCH("Size", Work!$1:$1, 0)))-B9</f>
      </c>
      <c r="D9" s="4" t="str">
        <f>=B9-B8</f>
      </c>
      <c r="E9" s="4" t="str">
        <f>=AVERAGE(OFFSET(D9, -1 * (MIN(COUNT(D$3:D9),3) -1), 0, MIN(COUNT(D$3:D9),3), 1))</f>
      </c>
      <c r="F9" s="4" t="str">
        <f>=STDEV(OFFSET(D9, -1 * (MIN(COUNT(D$3:D9),3) -1), 0, MIN(COUNT(D$3:D9),3), 1))</f>
      </c>
      <c r="G9" s="3" t="str">
        <f>=WORKDAY(A9, CEILING((C9/J9)*5, 1))</f>
      </c>
      <c r="H9" s="3" t="str">
        <f>=WORKDAY(A9, CEILING((C9/E9)*5, 1))</f>
      </c>
      <c r="I9" s="3" t="str">
        <f>=IF(K9&lt;=0,"unknown",WORKDAY(A9,CEILING((C9/K9)*5,1)))</f>
      </c>
      <c r="J9" s="4" t="str">
        <f>=E9+_xlfn.CONFIDENCE.T(0.1,F9,MIN(3,COUNT(D$3:D9)))</f>
      </c>
      <c r="K9" s="4" t="str">
        <f>=E9-_xlfn.CONFIDENCE.T(0.1,F9,MIN(3,COUNT(D$3:D9)))</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